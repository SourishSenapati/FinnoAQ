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_Register" sheetId="1" state="visible" r:id="rId1"/>
    <sheet xmlns:r="http://schemas.openxmlformats.org/officeDocument/2006/relationships" name="CapEx_Schedule" sheetId="2" state="visible" r:id="rId2"/>
    <sheet xmlns:r="http://schemas.openxmlformats.org/officeDocument/2006/relationships" name="OpEx_Schedule" sheetId="3" state="visible" r:id="rId3"/>
    <sheet xmlns:r="http://schemas.openxmlformats.org/officeDocument/2006/relationships" name="Cash_Flow_5_Year" sheetId="4" state="visible" r:id="rId4"/>
    <sheet xmlns:r="http://schemas.openxmlformats.org/officeDocument/2006/relationships" name="Sensitivity_Analysis" sheetId="5" state="visible" r:id="rId5"/>
    <sheet xmlns:r="http://schemas.openxmlformats.org/officeDocument/2006/relationships" name="Breakeven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INR #,##0.00 Lakhs"/>
    <numFmt numFmtId="166" formatCode="0.0%"/>
    <numFmt numFmtId="167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right"/>
    </xf>
    <xf numFmtId="0" fontId="3" fillId="0" borderId="1" pivotButton="0" quotePrefix="0" xfId="0"/>
    <xf numFmtId="2" fontId="6" fillId="0" borderId="1" applyAlignment="1" pivotButton="0" quotePrefix="0" xfId="0">
      <alignment horizontal="right"/>
    </xf>
    <xf numFmtId="0" fontId="5" fillId="3" borderId="1" pivotButton="0" quotePrefix="0" xfId="0"/>
    <xf numFmtId="0" fontId="3" fillId="3" borderId="1" pivotButton="0" quotePrefix="0" xfId="0"/>
    <xf numFmtId="2" fontId="5" fillId="3" borderId="1" applyAlignment="1" pivotButton="0" quotePrefix="0" xfId="0">
      <alignment horizontal="right"/>
    </xf>
    <xf numFmtId="0" fontId="6" fillId="3" borderId="1" pivotButton="0" quotePrefix="0" xfId="0"/>
    <xf numFmtId="0" fontId="5" fillId="4" borderId="2" pivotButton="0" quotePrefix="0" xfId="0"/>
    <xf numFmtId="0" fontId="3" fillId="4" borderId="2" pivotButton="0" quotePrefix="0" xfId="0"/>
    <xf numFmtId="2" fontId="5" fillId="4" borderId="2" applyAlignment="1" pivotButton="0" quotePrefix="0" xfId="0">
      <alignment horizontal="right"/>
    </xf>
    <xf numFmtId="0" fontId="6" fillId="4" borderId="2" pivotButton="0" quotePrefix="0" xfId="0"/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3" fontId="5" fillId="4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0" fontId="5" fillId="0" borderId="0" pivotButton="0" quotePrefix="0" xfId="0"/>
    <xf numFmtId="165" fontId="5" fillId="4" borderId="0" pivotButton="0" quotePrefix="0" xfId="0"/>
    <xf numFmtId="166" fontId="5" fillId="4" borderId="0" pivotButton="0" quotePrefix="0" xfId="0"/>
    <xf numFmtId="0" fontId="5" fillId="4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167" fontId="6" fillId="0" borderId="1" applyAlignment="1" pivotButton="0" quotePrefix="0" xfId="0">
      <alignment horizontal="right"/>
    </xf>
    <xf numFmtId="167" fontId="5" fillId="4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1" customWidth="1" min="2" max="2"/>
    <col width="38" customWidth="1" min="3" max="3"/>
    <col width="17" customWidth="1" min="4" max="4"/>
    <col width="20" customWidth="1" min="5" max="5"/>
    <col width="26" customWidth="1" min="6" max="6"/>
    <col width="50" customWidth="1" min="7" max="7"/>
  </cols>
  <sheetData>
    <row r="1">
      <c r="A1" s="1" t="inlineStr">
        <is>
          <t>FINNOAQ AGRO-INDUSTRIAL TECHNOLOGIES LTD.</t>
        </is>
      </c>
    </row>
    <row r="2">
      <c r="A2" s="2" t="inlineStr">
        <is>
          <t>DAL-OPT Commercial Financial Model — Master Assumptions Register</t>
        </is>
      </c>
    </row>
    <row r="3">
      <c r="A3" s="3" t="inlineStr">
        <is>
          <t>Reference Line: 15 MT/Day Processing Capacity | Project Ref: FNQ-PR-2026-001</t>
        </is>
      </c>
    </row>
    <row r="4"/>
    <row r="5">
      <c r="A5" s="4" t="inlineStr">
        <is>
          <t>Parameter ID</t>
        </is>
      </c>
      <c r="B5" s="4" t="inlineStr">
        <is>
          <t>Category</t>
        </is>
      </c>
      <c r="C5" s="4" t="inlineStr">
        <is>
          <t>Parameter Description</t>
        </is>
      </c>
      <c r="D5" s="4" t="inlineStr">
        <is>
          <t>Baseline Value</t>
        </is>
      </c>
      <c r="E5" s="4" t="inlineStr">
        <is>
          <t>Unit</t>
        </is>
      </c>
      <c r="F5" s="4" t="inlineStr">
        <is>
          <t>Evidence Classification</t>
        </is>
      </c>
      <c r="G5" s="4" t="inlineStr">
        <is>
          <t>Commercial Rationale / Source</t>
        </is>
      </c>
    </row>
    <row r="6">
      <c r="A6" s="5" t="inlineStr">
        <is>
          <t>TECH_01</t>
        </is>
      </c>
      <c r="B6" s="6" t="inlineStr">
        <is>
          <t>Plant Operation</t>
        </is>
      </c>
      <c r="C6" s="6" t="inlineStr">
        <is>
          <t>Daily Operating Hours</t>
        </is>
      </c>
      <c r="D6" s="7" t="n">
        <v>20</v>
      </c>
      <c r="E6" s="8" t="inlineStr">
        <is>
          <t>hours/day</t>
        </is>
      </c>
      <c r="F6" s="6" t="inlineStr">
        <is>
          <t>DESIGN_SPEC</t>
        </is>
      </c>
      <c r="G6" s="6" t="inlineStr">
        <is>
          <t>Two 10-hour shifts with 4 hours cleaning/CIP and maintenance</t>
        </is>
      </c>
    </row>
    <row r="7">
      <c r="A7" s="5" t="inlineStr">
        <is>
          <t>TECH_02</t>
        </is>
      </c>
      <c r="B7" s="6" t="inlineStr">
        <is>
          <t>Plant Operation</t>
        </is>
      </c>
      <c r="C7" s="6" t="inlineStr">
        <is>
          <t>Annual Operating Days</t>
        </is>
      </c>
      <c r="D7" s="7" t="n">
        <v>300</v>
      </c>
      <c r="E7" s="8" t="inlineStr">
        <is>
          <t>days/year</t>
        </is>
      </c>
      <c r="F7" s="6" t="inlineStr">
        <is>
          <t>DESIGN_SPEC</t>
        </is>
      </c>
      <c r="G7" s="6" t="inlineStr">
        <is>
          <t>Accounts for scheduled maintenance, festival shutdowns, and monsoon slowdown</t>
        </is>
      </c>
    </row>
    <row r="8">
      <c r="A8" s="5" t="inlineStr">
        <is>
          <t>TECH_03</t>
        </is>
      </c>
      <c r="B8" s="6" t="inlineStr">
        <is>
          <t>Mass Balance</t>
        </is>
      </c>
      <c r="C8" s="6" t="inlineStr">
        <is>
          <t>Raw Feed Input (Basis I)</t>
        </is>
      </c>
      <c r="D8" s="7" t="n">
        <v>15000</v>
      </c>
      <c r="E8" s="8" t="inlineStr">
        <is>
          <t>kg/day</t>
        </is>
      </c>
      <c r="F8" s="6" t="inlineStr">
        <is>
          <t>MEASURED</t>
        </is>
      </c>
      <c r="G8" s="6" t="inlineStr">
        <is>
          <t>Standard 15 TPD dry feed raw dal intake (12.0% wb moisture)</t>
        </is>
      </c>
    </row>
    <row r="9">
      <c r="A9" s="5" t="inlineStr">
        <is>
          <t>TECH_04</t>
        </is>
      </c>
      <c r="B9" s="6" t="inlineStr">
        <is>
          <t>Mass Balance</t>
        </is>
      </c>
      <c r="C9" s="6" t="inlineStr">
        <is>
          <t>Finished Product Output</t>
        </is>
      </c>
      <c r="D9" s="7" t="n">
        <v>14360</v>
      </c>
      <c r="E9" s="8" t="inlineStr">
        <is>
          <t>kg/day</t>
        </is>
      </c>
      <c r="F9" s="6" t="inlineStr">
        <is>
          <t>CALCULATED</t>
        </is>
      </c>
      <c r="G9" s="6" t="inlineStr">
        <is>
          <t>At 10.5% wb finished moisture; 97.4% dry solids yield, 2.6% fines/solubles loss</t>
        </is>
      </c>
    </row>
    <row r="10">
      <c r="A10" s="5" t="inlineStr">
        <is>
          <t>TECH_05</t>
        </is>
      </c>
      <c r="B10" s="6" t="inlineStr">
        <is>
          <t>Mass Balance</t>
        </is>
      </c>
      <c r="C10" s="6" t="inlineStr">
        <is>
          <t>Annual Throughput (Raw)</t>
        </is>
      </c>
      <c r="D10" s="7" t="n">
        <v>4500</v>
      </c>
      <c r="E10" s="8" t="inlineStr">
        <is>
          <t>MT/year</t>
        </is>
      </c>
      <c r="F10" s="6" t="inlineStr">
        <is>
          <t>CALCULATED</t>
        </is>
      </c>
      <c r="G10" s="6" t="inlineStr">
        <is>
          <t>15 MT/day * 300 days/year</t>
        </is>
      </c>
    </row>
    <row r="11">
      <c r="A11" s="5" t="inlineStr">
        <is>
          <t>TECH_06</t>
        </is>
      </c>
      <c r="B11" s="6" t="inlineStr">
        <is>
          <t>Mass Balance</t>
        </is>
      </c>
      <c r="C11" s="6" t="inlineStr">
        <is>
          <t>Annual Throughput (Finished)</t>
        </is>
      </c>
      <c r="D11" s="7" t="n">
        <v>4308</v>
      </c>
      <c r="E11" s="8" t="inlineStr">
        <is>
          <t>MT/year</t>
        </is>
      </c>
      <c r="F11" s="6" t="inlineStr">
        <is>
          <t>CALCULATED</t>
        </is>
      </c>
      <c r="G11" s="6" t="inlineStr">
        <is>
          <t>14.36 MT/day * 300 days/year</t>
        </is>
      </c>
    </row>
    <row r="12">
      <c r="A12" s="5" t="inlineStr">
        <is>
          <t>TECH_07</t>
        </is>
      </c>
      <c r="B12" s="6" t="inlineStr">
        <is>
          <t>Chemicals</t>
        </is>
      </c>
      <c r="C12" s="6" t="inlineStr">
        <is>
          <t>S1-09 Reagent Consumption</t>
        </is>
      </c>
      <c r="D12" s="7" t="n">
        <v>1.82</v>
      </c>
      <c r="E12" s="8" t="inlineStr">
        <is>
          <t>INR / kg raw</t>
        </is>
      </c>
      <c r="F12" s="6" t="inlineStr">
        <is>
          <t>CALCULATED</t>
        </is>
      </c>
      <c r="G12" s="6" t="inlineStr">
        <is>
          <t>Tri-salt formulation: Citrate (0.085M) + Citric (0.025M) + SHMP (0.035M)</t>
        </is>
      </c>
    </row>
    <row r="13">
      <c r="A13" s="5" t="inlineStr">
        <is>
          <t>TECH_08</t>
        </is>
      </c>
      <c r="B13" s="6" t="inlineStr">
        <is>
          <t>Utilities</t>
        </is>
      </c>
      <c r="C13" s="6" t="inlineStr">
        <is>
          <t>Steam Consumption (Thermal)</t>
        </is>
      </c>
      <c r="D13" s="7" t="n">
        <v>1.95</v>
      </c>
      <c r="E13" s="8" t="inlineStr">
        <is>
          <t>INR / kg raw</t>
        </is>
      </c>
      <c r="F13" s="6" t="inlineStr">
        <is>
          <t>CALCULATED</t>
        </is>
      </c>
      <c r="G13" s="6" t="inlineStr">
        <is>
          <t>1.38 kg steam / kg evaporated water; biomass/husk boiler at INR 3.20/kg steam</t>
        </is>
      </c>
    </row>
    <row r="14">
      <c r="A14" s="5" t="inlineStr">
        <is>
          <t>TECH_09</t>
        </is>
      </c>
      <c r="B14" s="6" t="inlineStr">
        <is>
          <t>Utilities</t>
        </is>
      </c>
      <c r="C14" s="6" t="inlineStr">
        <is>
          <t>Electrical Power Consumption</t>
        </is>
      </c>
      <c r="D14" s="7" t="n">
        <v>0.88</v>
      </c>
      <c r="E14" s="8" t="inlineStr">
        <is>
          <t>INR / kg raw</t>
        </is>
      </c>
      <c r="F14" s="6" t="inlineStr">
        <is>
          <t>CALCULATED</t>
        </is>
      </c>
      <c r="G14" s="6" t="inlineStr">
        <is>
          <t>Connected load 49.9 kW; average draw 36.5 kW; grid power at INR 7.50/kWh</t>
        </is>
      </c>
    </row>
    <row r="15">
      <c r="A15" s="5" t="inlineStr">
        <is>
          <t>TECH_10</t>
        </is>
      </c>
      <c r="B15" s="6" t="inlineStr">
        <is>
          <t>Utilities</t>
        </is>
      </c>
      <c r="C15" s="6" t="inlineStr">
        <is>
          <t>Water &amp; Effluent Treatment</t>
        </is>
      </c>
      <c r="D15" s="7" t="n">
        <v>0.34</v>
      </c>
      <c r="E15" s="8" t="inlineStr">
        <is>
          <t>INR / kg raw</t>
        </is>
      </c>
      <c r="F15" s="6" t="inlineStr">
        <is>
          <t>CALCULATED</t>
        </is>
      </c>
      <c r="G15" s="6" t="inlineStr">
        <is>
          <t>Soak L/S 1.6 + wash 0.50 L/kg; primary neutralization &amp; settling pond recycling</t>
        </is>
      </c>
    </row>
    <row r="16">
      <c r="A16" s="5" t="inlineStr">
        <is>
          <t>TECH_11</t>
        </is>
      </c>
      <c r="B16" s="6" t="inlineStr">
        <is>
          <t>Labor</t>
        </is>
      </c>
      <c r="C16" s="6" t="inlineStr">
        <is>
          <t>Direct Factory Labor</t>
        </is>
      </c>
      <c r="D16" s="7" t="n">
        <v>0.75</v>
      </c>
      <c r="E16" s="8" t="inlineStr">
        <is>
          <t>INR / kg raw</t>
        </is>
      </c>
      <c r="F16" s="6" t="inlineStr">
        <is>
          <t>CALCULATED</t>
        </is>
      </c>
      <c r="G16" s="6" t="inlineStr">
        <is>
          <t>6 operators across 2 shifts + 1 shift supervisor at INR 22,000-35,000/month</t>
        </is>
      </c>
    </row>
    <row r="17">
      <c r="A17" s="5" t="inlineStr">
        <is>
          <t>TECH_12</t>
        </is>
      </c>
      <c r="B17" s="6" t="inlineStr">
        <is>
          <t>Maintenance</t>
        </is>
      </c>
      <c r="C17" s="6" t="inlineStr">
        <is>
          <t>Routine Maintenance &amp; Consumables</t>
        </is>
      </c>
      <c r="D17" s="7" t="n">
        <v>0.6</v>
      </c>
      <c r="E17" s="8" t="inlineStr">
        <is>
          <t>INR / kg raw</t>
        </is>
      </c>
      <c r="F17" s="6" t="inlineStr">
        <is>
          <t>PLANNING_ASSUMPTION</t>
        </is>
      </c>
      <c r="G17" s="6" t="inlineStr">
        <is>
          <t>4.0% of equipment CapEx annualized, divided across annual production</t>
        </is>
      </c>
    </row>
    <row r="18">
      <c r="A18" s="5" t="inlineStr">
        <is>
          <t>COMM_01</t>
        </is>
      </c>
      <c r="B18" s="6" t="inlineStr">
        <is>
          <t>Market Arbitrage</t>
        </is>
      </c>
      <c r="C18" s="6" t="inlineStr">
        <is>
          <t>HTC Dal Mandi Price Discount</t>
        </is>
      </c>
      <c r="D18" s="7" t="n">
        <v>20</v>
      </c>
      <c r="E18" s="8" t="inlineStr">
        <is>
          <t>INR / kg raw</t>
        </is>
      </c>
      <c r="F18" s="6" t="inlineStr">
        <is>
          <t>MEASURED</t>
        </is>
      </c>
      <c r="G18" s="6" t="inlineStr">
        <is>
          <t>Historical spread between domestic desi toor and African HTC import (Tanzania/Mozambique)</t>
        </is>
      </c>
    </row>
    <row r="19">
      <c r="A19" s="5" t="inlineStr">
        <is>
          <t>COMM_02</t>
        </is>
      </c>
      <c r="B19" s="6" t="inlineStr">
        <is>
          <t>Business Model</t>
        </is>
      </c>
      <c r="C19" s="6" t="inlineStr">
        <is>
          <t>FinnoaQ Value Share (Tolling Fee)</t>
        </is>
      </c>
      <c r="D19" s="7" t="n">
        <v>12</v>
      </c>
      <c r="E19" s="8" t="inlineStr">
        <is>
          <t>INR / kg raw</t>
        </is>
      </c>
      <c r="F19" s="6" t="inlineStr">
        <is>
          <t>COMMERCIAL_TERMS</t>
        </is>
      </c>
      <c r="G19" s="6" t="inlineStr">
        <is>
          <t>FinnoaQ charges INR 12.00/kg; miller retains INR 8.00/kg instant windfall margin</t>
        </is>
      </c>
    </row>
    <row r="20">
      <c r="A20" s="5" t="inlineStr">
        <is>
          <t>COMM_03</t>
        </is>
      </c>
      <c r="B20" s="6" t="inlineStr">
        <is>
          <t>Commercial Tolling</t>
        </is>
      </c>
      <c r="C20" s="6" t="inlineStr">
        <is>
          <t>Contract Tolling Revenue</t>
        </is>
      </c>
      <c r="D20" s="7" t="n">
        <v>12</v>
      </c>
      <c r="E20" s="8" t="inlineStr">
        <is>
          <t>INR / kg raw</t>
        </is>
      </c>
      <c r="F20" s="6" t="inlineStr">
        <is>
          <t>COMMERCIAL_TERMS</t>
        </is>
      </c>
      <c r="G20" s="6" t="inlineStr">
        <is>
          <t>B2B tolling service fee under Model D contract</t>
        </is>
      </c>
    </row>
    <row r="21">
      <c r="A21" s="5" t="inlineStr">
        <is>
          <t>COMM_04</t>
        </is>
      </c>
      <c r="B21" s="6" t="inlineStr">
        <is>
          <t>Licensing</t>
        </is>
      </c>
      <c r="C21" s="6" t="inlineStr">
        <is>
          <t>Technology Royalty Rate (Model C)</t>
        </is>
      </c>
      <c r="D21" s="7" t="n">
        <v>1.5</v>
      </c>
      <c r="E21" s="8" t="inlineStr">
        <is>
          <t>INR / kg finished</t>
        </is>
      </c>
      <c r="F21" s="6" t="inlineStr">
        <is>
          <t>COMMERCIAL_TERMS</t>
        </is>
      </c>
      <c r="G21" s="6" t="inlineStr">
        <is>
          <t>Per-kg licensing royalty for miller-owned turnkey lines</t>
        </is>
      </c>
    </row>
    <row r="22">
      <c r="A22" s="5" t="inlineStr">
        <is>
          <t>COMM_05</t>
        </is>
      </c>
      <c r="B22" s="6" t="inlineStr">
        <is>
          <t>Financing</t>
        </is>
      </c>
      <c r="C22" s="6" t="inlineStr">
        <is>
          <t>Weighted Average Cost of Capital (WACC)</t>
        </is>
      </c>
      <c r="D22" s="7" t="n">
        <v>12</v>
      </c>
      <c r="E22" s="8" t="inlineStr">
        <is>
          <t>%</t>
        </is>
      </c>
      <c r="F22" s="6" t="inlineStr">
        <is>
          <t>PLANNING_ASSUMPTION</t>
        </is>
      </c>
      <c r="G22" s="6" t="inlineStr">
        <is>
          <t>Benchmark hurdle discount rate for food processing investments in India</t>
        </is>
      </c>
    </row>
    <row r="23">
      <c r="A23" s="5" t="inlineStr">
        <is>
          <t>COMM_06</t>
        </is>
      </c>
      <c r="B23" s="6" t="inlineStr">
        <is>
          <t>Taxation</t>
        </is>
      </c>
      <c r="C23" s="6" t="inlineStr">
        <is>
          <t>Effective Corporate Tax Rate</t>
        </is>
      </c>
      <c r="D23" s="7" t="n">
        <v>25.17</v>
      </c>
      <c r="E23" s="8" t="inlineStr">
        <is>
          <t>%</t>
        </is>
      </c>
      <c r="F23" s="6" t="inlineStr">
        <is>
          <t>OFFICIAL_STATUTE</t>
        </is>
      </c>
      <c r="G23" s="6" t="inlineStr">
        <is>
          <t>Indian corporate tax rate for new domestic manufacturing entities (Section 115BAA)</t>
        </is>
      </c>
    </row>
    <row r="24">
      <c r="A24" s="5" t="inlineStr">
        <is>
          <t>COMM_07</t>
        </is>
      </c>
      <c r="B24" s="6" t="inlineStr">
        <is>
          <t>Asset Life</t>
        </is>
      </c>
      <c r="C24" s="6" t="inlineStr">
        <is>
          <t>Plant &amp; Machinery Depreciation Life</t>
        </is>
      </c>
      <c r="D24" s="7" t="n">
        <v>10</v>
      </c>
      <c r="E24" s="8" t="inlineStr">
        <is>
          <t>years</t>
        </is>
      </c>
      <c r="F24" s="6" t="inlineStr">
        <is>
          <t>ACCOUNTING_STD</t>
        </is>
      </c>
      <c r="G24" s="6" t="inlineStr">
        <is>
          <t>Straight-line depreciation with 5% salvage value per Companies Act 2013</t>
        </is>
      </c>
    </row>
    <row r="25">
      <c r="A25" s="5" t="inlineStr">
        <is>
          <t>COMM_08</t>
        </is>
      </c>
      <c r="B25" s="6" t="inlineStr">
        <is>
          <t>Working Capital</t>
        </is>
      </c>
      <c r="C25" s="6" t="inlineStr">
        <is>
          <t>Operating Working Capital Requirement</t>
        </is>
      </c>
      <c r="D25" s="7" t="n">
        <v>30</v>
      </c>
      <c r="E25" s="8" t="inlineStr">
        <is>
          <t>days</t>
        </is>
      </c>
      <c r="F25" s="6" t="inlineStr">
        <is>
          <t>PLANNING_ASSUMPTION</t>
        </is>
      </c>
      <c r="G25" s="6" t="inlineStr">
        <is>
          <t>30 days receivables and chemical inventory buffer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6" customWidth="1" min="2" max="2"/>
    <col width="42" customWidth="1" min="3" max="3"/>
    <col width="21" customWidth="1" min="4" max="4"/>
    <col width="23" customWidth="1" min="5" max="5"/>
    <col width="27" customWidth="1" min="6" max="6"/>
    <col width="34" customWidth="1" min="7" max="7"/>
  </cols>
  <sheetData>
    <row r="1">
      <c r="A1" s="1" t="inlineStr">
        <is>
          <t>FINNOAQ AGRO-INDUSTRIAL TECHNOLOGIES LTD.</t>
        </is>
      </c>
    </row>
    <row r="2">
      <c r="A2" s="2" t="inlineStr">
        <is>
          <t>Turnkey Capital Expenditure Schedule Across Scales (1 TPD, 5 TPD, 15 TPD)</t>
        </is>
      </c>
    </row>
    <row r="3">
      <c r="A3" s="3" t="inlineStr">
        <is>
          <t>All figures in INR Lakhs (1 Lakh = 100,000 INR) | Ref: FNQ-PR-2026-001</t>
        </is>
      </c>
    </row>
    <row r="4"/>
    <row r="5">
      <c r="A5" s="4" t="inlineStr">
        <is>
          <t>Tag</t>
        </is>
      </c>
      <c r="B5" s="4" t="inlineStr">
        <is>
          <t>Equipment / System Description</t>
        </is>
      </c>
      <c r="C5" s="4" t="inlineStr">
        <is>
          <t>Specification / Capacity Basis</t>
        </is>
      </c>
      <c r="D5" s="4" t="inlineStr">
        <is>
          <t>1 TPD Pilot (INR L)</t>
        </is>
      </c>
      <c r="E5" s="4" t="inlineStr">
        <is>
          <t>5 TPD Modular (INR L)</t>
        </is>
      </c>
      <c r="F5" s="4" t="inlineStr">
        <is>
          <t>15 TPD Industrial (INR L)</t>
        </is>
      </c>
      <c r="G5" s="4" t="inlineStr">
        <is>
          <t>Vendor Quotation Basis</t>
        </is>
      </c>
    </row>
    <row r="6">
      <c r="A6" s="6" t="inlineStr">
        <is>
          <t>CLN-101</t>
        </is>
      </c>
      <c r="B6" s="6" t="inlineStr">
        <is>
          <t>Vibratory Screener &amp; Destoner</t>
        </is>
      </c>
      <c r="C6" s="8" t="inlineStr">
        <is>
          <t>Triple-deck vibrating screen, 1500 kg/hr, SS304 screen</t>
        </is>
      </c>
      <c r="D6" s="9" t="n">
        <v>2.2</v>
      </c>
      <c r="E6" s="9" t="n">
        <v>4.5</v>
      </c>
      <c r="F6" s="9" t="n">
        <v>8.5</v>
      </c>
      <c r="G6" s="6" t="inlineStr">
        <is>
          <t>Indopol / Milltec commercial quote</t>
        </is>
      </c>
    </row>
    <row r="7">
      <c r="A7" s="6" t="inlineStr">
        <is>
          <t>SKR-102</t>
        </is>
      </c>
      <c r="B7" s="6" t="inlineStr">
        <is>
          <t>Atmospheric Conditioning Vessel</t>
        </is>
      </c>
      <c r="C7" s="8" t="inlineStr">
        <is>
          <t>Batch-rotary jacketed vessel, internal lifters, 3.2 m3, SS316 contact</t>
        </is>
      </c>
      <c r="D7" s="9" t="n">
        <v>4.5</v>
      </c>
      <c r="E7" s="9" t="n">
        <v>11</v>
      </c>
      <c r="F7" s="9" t="n">
        <v>22.5</v>
      </c>
      <c r="G7" s="6" t="inlineStr">
        <is>
          <t>Trojan Fabricators / Praj vendor database</t>
        </is>
      </c>
    </row>
    <row r="8">
      <c r="A8" s="6" t="inlineStr">
        <is>
          <t>WSH-103</t>
        </is>
      </c>
      <c r="B8" s="6" t="inlineStr">
        <is>
          <t>Counter-Current Rinse Drum</t>
        </is>
      </c>
      <c r="C8" s="8" t="inlineStr">
        <is>
          <t>Perforated centrifugal drum, high-pressure spray manifold, SS304</t>
        </is>
      </c>
      <c r="D8" s="9" t="n">
        <v>1.8</v>
      </c>
      <c r="E8" s="9" t="n">
        <v>4.8</v>
      </c>
      <c r="F8" s="9" t="n">
        <v>9.5</v>
      </c>
      <c r="G8" s="6" t="inlineStr">
        <is>
          <t>Fabcon Food Processing quote</t>
        </is>
      </c>
    </row>
    <row r="9">
      <c r="A9" s="6" t="inlineStr">
        <is>
          <t>DRY-104</t>
        </is>
      </c>
      <c r="B9" s="6" t="inlineStr">
        <is>
          <t>Two-Stage Fluid-Bed Dryer</t>
        </is>
      </c>
      <c r="C9" s="8" t="inlineStr">
        <is>
          <t>Vibratory continuous fluid bed, steam radiator 120 kW, SS304 bed</t>
        </is>
      </c>
      <c r="D9" s="9" t="n">
        <v>6.5</v>
      </c>
      <c r="E9" s="9" t="n">
        <v>16.5</v>
      </c>
      <c r="F9" s="9" t="n">
        <v>34</v>
      </c>
      <c r="G9" s="6" t="inlineStr">
        <is>
          <t>GEA / SSP India industrial quote</t>
        </is>
      </c>
    </row>
    <row r="10">
      <c r="A10" s="6" t="inlineStr">
        <is>
          <t>TMP-105</t>
        </is>
      </c>
      <c r="B10" s="6" t="inlineStr">
        <is>
          <t>Insulated Tempering Hopper</t>
        </is>
      </c>
      <c r="C10" s="8" t="inlineStr">
        <is>
          <t>Vertical gravity tempering silo, insulated bin, discharge gate</t>
        </is>
      </c>
      <c r="D10" s="9" t="n">
        <v>1.2</v>
      </c>
      <c r="E10" s="9" t="n">
        <v>2.8</v>
      </c>
      <c r="F10" s="9" t="n">
        <v>5.5</v>
      </c>
      <c r="G10" s="6" t="inlineStr">
        <is>
          <t>Standard fabrication (Nashik cluster)</t>
        </is>
      </c>
    </row>
    <row r="11">
      <c r="A11" s="6" t="inlineStr">
        <is>
          <t>CLR-106</t>
        </is>
      </c>
      <c r="B11" s="6" t="inlineStr">
        <is>
          <t>Fluid-Bed Dal Cooler</t>
        </is>
      </c>
      <c r="C11" s="8" t="inlineStr">
        <is>
          <t>Ambient air fluidized cooling deck, cyclone separator, SS304</t>
        </is>
      </c>
      <c r="D11" s="9" t="n">
        <v>1</v>
      </c>
      <c r="E11" s="9" t="n">
        <v>2.5</v>
      </c>
      <c r="F11" s="9" t="n">
        <v>4.5</v>
      </c>
      <c r="G11" s="6" t="inlineStr">
        <is>
          <t>Fabcon Food Processing quote</t>
        </is>
      </c>
    </row>
    <row r="12">
      <c r="A12" s="6" t="inlineStr">
        <is>
          <t>OPT-107</t>
        </is>
      </c>
      <c r="B12" s="6" t="inlineStr">
        <is>
          <t>Optical Color Sorter</t>
        </is>
      </c>
      <c r="C12" s="8" t="inlineStr">
        <is>
          <t>Bichromatic/trichromatic 2-chute sorter, 1000 kg/hr</t>
        </is>
      </c>
      <c r="D12" s="9" t="n">
        <v>0</v>
      </c>
      <c r="E12" s="9" t="n">
        <v>0</v>
      </c>
      <c r="F12" s="9" t="n">
        <v>18</v>
      </c>
      <c r="G12" s="6" t="inlineStr">
        <is>
          <t>Buhler / Tomra / Taiho quote (Optional/std for 15 TPD)</t>
        </is>
      </c>
    </row>
    <row r="13">
      <c r="A13" s="6" t="inlineStr">
        <is>
          <t>POL-108</t>
        </is>
      </c>
      <c r="B13" s="6" t="inlineStr">
        <is>
          <t>Finishing Micro-Mist Polisher</t>
        </is>
      </c>
      <c r="C13" s="8" t="inlineStr">
        <is>
          <t>Leather-cone water-mist polisher, 1200 kg/hr</t>
        </is>
      </c>
      <c r="D13" s="9" t="n">
        <v>0</v>
      </c>
      <c r="E13" s="9" t="n">
        <v>3.2</v>
      </c>
      <c r="F13" s="9" t="n">
        <v>6.5</v>
      </c>
      <c r="G13" s="6" t="inlineStr">
        <is>
          <t>Milltec Machinery quote</t>
        </is>
      </c>
    </row>
    <row r="14">
      <c r="A14" s="6" t="inlineStr">
        <is>
          <t>SIL-109</t>
        </is>
      </c>
      <c r="B14" s="6" t="inlineStr">
        <is>
          <t>Storage Buffer Silos &amp; Conveying</t>
        </is>
      </c>
      <c r="C14" s="8" t="inlineStr">
        <is>
          <t>3x 10 MT silos, bucket elevators, screw feeders</t>
        </is>
      </c>
      <c r="D14" s="9" t="n">
        <v>1.5</v>
      </c>
      <c r="E14" s="9" t="n">
        <v>3.5</v>
      </c>
      <c r="F14" s="9" t="n">
        <v>8</v>
      </c>
      <c r="G14" s="6" t="inlineStr">
        <is>
          <t>Standard fabrication quote</t>
        </is>
      </c>
    </row>
    <row r="15">
      <c r="A15" s="6" t="inlineStr">
        <is>
          <t>PKG-110</t>
        </is>
      </c>
      <c r="B15" s="6" t="inlineStr">
        <is>
          <t>Automated FFS Bagging Line</t>
        </is>
      </c>
      <c r="C15" s="8" t="inlineStr">
        <is>
          <t>25/50 kg bulk open-mouth bagging, electronic scale &amp; stitcher</t>
        </is>
      </c>
      <c r="D15" s="9" t="n">
        <v>0.8</v>
      </c>
      <c r="E15" s="9" t="n">
        <v>2.2</v>
      </c>
      <c r="F15" s="9" t="n">
        <v>5</v>
      </c>
      <c r="G15" s="6" t="inlineStr">
        <is>
          <t>Penta Packaging / Hassia quote</t>
        </is>
      </c>
    </row>
    <row r="16">
      <c r="A16" s="10" t="inlineStr">
        <is>
          <t>SUB_EQ</t>
        </is>
      </c>
      <c r="B16" s="10" t="inlineStr">
        <is>
          <t>Subtotal: Process Machinery</t>
        </is>
      </c>
      <c r="C16" s="11" t="inlineStr">
        <is>
          <t>Sum of Unit Operations CLN-101 to PKG-110</t>
        </is>
      </c>
      <c r="D16" s="12">
        <f>SUM(D6:D15)</f>
        <v/>
      </c>
      <c r="E16" s="12">
        <f>SUM(E6:E15)</f>
        <v/>
      </c>
      <c r="F16" s="12">
        <f>SUM(F6:F15)</f>
        <v/>
      </c>
      <c r="G16" s="13" t="inlineStr">
        <is>
          <t>Subtotal</t>
        </is>
      </c>
    </row>
    <row r="17">
      <c r="A17" s="6" t="inlineStr">
        <is>
          <t>INST_01</t>
        </is>
      </c>
      <c r="B17" s="6" t="inlineStr">
        <is>
          <t>Electrical, MCC &amp; PLC Automation</t>
        </is>
      </c>
      <c r="C17" s="8" t="inlineStr">
        <is>
          <t>SCADA control panel, Siemens S7-1200, variable frequency drives</t>
        </is>
      </c>
      <c r="D17" s="9" t="n">
        <v>1.5</v>
      </c>
      <c r="E17" s="9" t="n">
        <v>4.2</v>
      </c>
      <c r="F17" s="9" t="n">
        <v>14.2</v>
      </c>
      <c r="G17" s="6" t="inlineStr">
        <is>
          <t>Schneider Electric / Siemens integrator</t>
        </is>
      </c>
    </row>
    <row r="18">
      <c r="A18" s="6" t="inlineStr">
        <is>
          <t>PIPE_02</t>
        </is>
      </c>
      <c r="B18" s="6" t="inlineStr">
        <is>
          <t>Piping, Pumps, Valves &amp; CIP</t>
        </is>
      </c>
      <c r="C18" s="8" t="inlineStr">
        <is>
          <t>SS304/316 fluid piping, sanitary centrifugal pumps, automated valves</t>
        </is>
      </c>
      <c r="D18" s="9" t="n">
        <v>1.2</v>
      </c>
      <c r="E18" s="9" t="n">
        <v>3.5</v>
      </c>
      <c r="F18" s="9" t="n">
        <v>12.8</v>
      </c>
      <c r="G18" s="6" t="inlineStr">
        <is>
          <t>Flowserve / Alfa Laval sanitary fittings</t>
        </is>
      </c>
    </row>
    <row r="19">
      <c r="A19" s="6" t="inlineStr">
        <is>
          <t>CIVIL_03</t>
        </is>
      </c>
      <c r="B19" s="6" t="inlineStr">
        <is>
          <t>Civil Foundations &amp; Utilities Hookup</t>
        </is>
      </c>
      <c r="C19" s="8" t="inlineStr">
        <is>
          <t>Equipment pedestals, steam connection, drain trenches, ventilation</t>
        </is>
      </c>
      <c r="D19" s="9" t="n">
        <v>1</v>
      </c>
      <c r="E19" s="9" t="n">
        <v>2.5</v>
      </c>
      <c r="F19" s="9" t="n">
        <v>6</v>
      </c>
      <c r="G19" s="6" t="inlineStr">
        <is>
          <t>Standard industrial turnkey norm</t>
        </is>
      </c>
    </row>
    <row r="20">
      <c r="A20" s="6" t="inlineStr">
        <is>
          <t>COMM_04</t>
        </is>
      </c>
      <c r="B20" s="6" t="inlineStr">
        <is>
          <t>Installation, Rigging &amp; Commissioning</t>
        </is>
      </c>
      <c r="C20" s="8" t="inlineStr">
        <is>
          <t>Mechanical erection, site rigging, trial dry/wet runs, training</t>
        </is>
      </c>
      <c r="D20" s="9" t="n">
        <v>1.2</v>
      </c>
      <c r="E20" s="9" t="n">
        <v>3.2</v>
      </c>
      <c r="F20" s="9" t="n">
        <v>5.5</v>
      </c>
      <c r="G20" s="6" t="inlineStr">
        <is>
          <t>Turnkey engineering labor</t>
        </is>
      </c>
    </row>
    <row r="21">
      <c r="A21" s="6" t="inlineStr">
        <is>
          <t>CONT_05</t>
        </is>
      </c>
      <c r="B21" s="6" t="inlineStr">
        <is>
          <t>Contingency &amp; Engineering Design</t>
        </is>
      </c>
      <c r="C21" s="8" t="inlineStr">
        <is>
          <t>5% project contingency and FEED engineering supervision</t>
        </is>
      </c>
      <c r="D21" s="9" t="n">
        <v>1.1</v>
      </c>
      <c r="E21" s="9" t="n">
        <v>2.6</v>
      </c>
      <c r="F21" s="9" t="n">
        <v>4.5</v>
      </c>
      <c r="G21" s="6" t="inlineStr">
        <is>
          <t>Standard engineering reserve</t>
        </is>
      </c>
    </row>
    <row r="22">
      <c r="A22" s="14" t="inlineStr">
        <is>
          <t>TOTAL</t>
        </is>
      </c>
      <c r="B22" s="14" t="inlineStr">
        <is>
          <t>TOTAL TURNKEY CAPITAL EXPENDITURE</t>
        </is>
      </c>
      <c r="C22" s="15" t="inlineStr">
        <is>
          <t>Grand Total CapEx Required</t>
        </is>
      </c>
      <c r="D22" s="16">
        <f>D16+SUM(D17:D21)</f>
        <v/>
      </c>
      <c r="E22" s="16">
        <f>E16+SUM(E17:E21)</f>
        <v/>
      </c>
      <c r="F22" s="16">
        <f>F16+SUM(F17:F21)</f>
        <v/>
      </c>
      <c r="G22" s="17" t="inlineStr">
        <is>
          <t>Turnkey CapEx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22" customWidth="1" min="3" max="3"/>
    <col width="25" customWidth="1" min="4" max="4"/>
    <col width="30" customWidth="1" min="5" max="5"/>
    <col width="22" customWidth="1" min="6" max="6"/>
    <col width="28" customWidth="1" min="7" max="7"/>
    <col width="16" customWidth="1" min="8" max="8"/>
  </cols>
  <sheetData>
    <row r="1">
      <c r="A1" s="1" t="inlineStr">
        <is>
          <t>FINNOAQ AGRO-INDUSTRIAL TECHNOLOGIES LTD.</t>
        </is>
      </c>
    </row>
    <row r="2">
      <c r="A2" s="2" t="inlineStr">
        <is>
          <t>Operating Expenditure (OpEx) Breakdown — 15 TPD Industrial Plant</t>
        </is>
      </c>
    </row>
    <row r="3">
      <c r="A3" s="3" t="inlineStr">
        <is>
          <t>Daily Basis: 15,000 kg/day Raw Dal | 14,360 kg/day Finished Dal | Ref: FNQ-PR-2026-001</t>
        </is>
      </c>
    </row>
    <row r="4"/>
    <row r="5">
      <c r="A5" s="4" t="inlineStr">
        <is>
          <t>Cost Component</t>
        </is>
      </c>
      <c r="B5" s="4" t="inlineStr">
        <is>
          <t>Specific Consumption Basis</t>
        </is>
      </c>
      <c r="C5" s="4" t="inlineStr">
        <is>
          <t>Unit Cost</t>
        </is>
      </c>
      <c r="D5" s="4" t="inlineStr">
        <is>
          <t>Cost / kg Raw Dal (INR)</t>
        </is>
      </c>
      <c r="E5" s="4" t="inlineStr">
        <is>
          <t>Cost / kg Finished Dal (INR)</t>
        </is>
      </c>
      <c r="F5" s="4" t="inlineStr">
        <is>
          <t>Daily Cost (INR/day)</t>
        </is>
      </c>
      <c r="G5" s="4" t="inlineStr">
        <is>
          <t>Annual Cost (INR Lakhs/yr)</t>
        </is>
      </c>
      <c r="H5" s="4" t="inlineStr">
        <is>
          <t>Cost Share (%)</t>
        </is>
      </c>
    </row>
    <row r="6">
      <c r="A6" s="6" t="inlineStr">
        <is>
          <t>S1-09 Chemical Buffer Reagents</t>
        </is>
      </c>
      <c r="B6" s="8" t="inlineStr">
        <is>
          <t>0.085M Citrate, 0.025M Citric, 0.035M SHMP</t>
        </is>
      </c>
      <c r="C6" s="6" t="inlineStr">
        <is>
          <t>INR 95/kg bulk salts</t>
        </is>
      </c>
      <c r="D6" s="9" t="n">
        <v>1.82</v>
      </c>
      <c r="E6" s="9">
        <f>D6/0.9573</f>
        <v/>
      </c>
      <c r="F6" s="18">
        <f>D6*15000</f>
        <v/>
      </c>
      <c r="G6" s="9">
        <f>F6*300/100000</f>
        <v/>
      </c>
      <c r="H6" s="19">
        <f>D6/$D$12*100</f>
        <v/>
      </c>
    </row>
    <row r="7">
      <c r="A7" s="6" t="inlineStr">
        <is>
          <t>Thermal Energy (Steam for Drying)</t>
        </is>
      </c>
      <c r="B7" s="8" t="inlineStr">
        <is>
          <t>1.38 kg steam / kg evap water (biomass boiler)</t>
        </is>
      </c>
      <c r="C7" s="6" t="inlineStr">
        <is>
          <t>INR 3.20 / kg steam</t>
        </is>
      </c>
      <c r="D7" s="9" t="n">
        <v>1.95</v>
      </c>
      <c r="E7" s="9">
        <f>D7/0.9573</f>
        <v/>
      </c>
      <c r="F7" s="18">
        <f>D7*15000</f>
        <v/>
      </c>
      <c r="G7" s="9">
        <f>F7*300/100000</f>
        <v/>
      </c>
      <c r="H7" s="19">
        <f>D7/$D$12*100</f>
        <v/>
      </c>
    </row>
    <row r="8">
      <c r="A8" s="6" t="inlineStr">
        <is>
          <t>Electrical Power (Motors &amp; Blowers)</t>
        </is>
      </c>
      <c r="B8" s="8" t="inlineStr">
        <is>
          <t>Connected 49.9 kW, avg draw 36.5 kW (584 kWh/day)</t>
        </is>
      </c>
      <c r="C8" s="6" t="inlineStr">
        <is>
          <t>INR 7.50 / kWh</t>
        </is>
      </c>
      <c r="D8" s="9" t="n">
        <v>0.88</v>
      </c>
      <c r="E8" s="9">
        <f>D8/0.9573</f>
        <v/>
      </c>
      <c r="F8" s="18">
        <f>D8*15000</f>
        <v/>
      </c>
      <c r="G8" s="9">
        <f>F8*300/100000</f>
        <v/>
      </c>
      <c r="H8" s="19">
        <f>D8/$D$12*100</f>
        <v/>
      </c>
    </row>
    <row r="9">
      <c r="A9" s="6" t="inlineStr">
        <is>
          <t>Process Water &amp; Effluent Neutralization</t>
        </is>
      </c>
      <c r="B9" s="8" t="inlineStr">
        <is>
          <t>Soak 1.60 L/kg + wash 0.50 L/kg; recycle pond</t>
        </is>
      </c>
      <c r="C9" s="6" t="inlineStr">
        <is>
          <t>INR 0.05 / L treated</t>
        </is>
      </c>
      <c r="D9" s="9" t="n">
        <v>0.34</v>
      </c>
      <c r="E9" s="9">
        <f>D9/0.9573</f>
        <v/>
      </c>
      <c r="F9" s="18">
        <f>D9*15000</f>
        <v/>
      </c>
      <c r="G9" s="9">
        <f>F9*300/100000</f>
        <v/>
      </c>
      <c r="H9" s="19">
        <f>D9/$D$12*100</f>
        <v/>
      </c>
    </row>
    <row r="10">
      <c r="A10" s="6" t="inlineStr">
        <is>
          <t>Direct Factory Labor</t>
        </is>
      </c>
      <c r="B10" s="8" t="inlineStr">
        <is>
          <t>6 operators across 2 shifts + 1 shift supervisor</t>
        </is>
      </c>
      <c r="C10" s="6" t="inlineStr">
        <is>
          <t>INR 22,000-35,000/mo</t>
        </is>
      </c>
      <c r="D10" s="9" t="n">
        <v>0.75</v>
      </c>
      <c r="E10" s="9">
        <f>D10/0.9573</f>
        <v/>
      </c>
      <c r="F10" s="18">
        <f>D10*15000</f>
        <v/>
      </c>
      <c r="G10" s="9">
        <f>F10*300/100000</f>
        <v/>
      </c>
      <c r="H10" s="19">
        <f>D10/$D$12*100</f>
        <v/>
      </c>
    </row>
    <row r="11">
      <c r="A11" s="6" t="inlineStr">
        <is>
          <t>Routine Plant Maintenance &amp; Spares</t>
        </is>
      </c>
      <c r="B11" s="8" t="inlineStr">
        <is>
          <t>4.0% annualized equipment CapEx reserve</t>
        </is>
      </c>
      <c r="C11" s="6" t="inlineStr">
        <is>
          <t>CapEx reserve</t>
        </is>
      </c>
      <c r="D11" s="9" t="n">
        <v>0.6</v>
      </c>
      <c r="E11" s="9">
        <f>D11/0.9573</f>
        <v/>
      </c>
      <c r="F11" s="18">
        <f>D11*15000</f>
        <v/>
      </c>
      <c r="G11" s="9">
        <f>F11*300/100000</f>
        <v/>
      </c>
      <c r="H11" s="19">
        <f>D11/$D$12*100</f>
        <v/>
      </c>
    </row>
    <row r="12">
      <c r="A12" s="14" t="inlineStr">
        <is>
          <t>TOTAL PRODUCTION OPEX</t>
        </is>
      </c>
      <c r="B12" s="15" t="inlineStr">
        <is>
          <t>Sum of all operating cost components</t>
        </is>
      </c>
      <c r="C12" s="17" t="inlineStr">
        <is>
          <t>All inclusive</t>
        </is>
      </c>
      <c r="D12" s="16">
        <f>SUM(D6:D11)</f>
        <v/>
      </c>
      <c r="E12" s="16">
        <f>SUM(E6:E11)</f>
        <v/>
      </c>
      <c r="F12" s="20">
        <f>SUM(F6:F11)</f>
        <v/>
      </c>
      <c r="G12" s="16">
        <f>SUM(G6:G11)</f>
        <v/>
      </c>
      <c r="H12" s="21">
        <f>SUM(H6:H11)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7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FINNOAQ AGRO-INDUSTRIAL TECHNOLOGIES LTD.</t>
        </is>
      </c>
    </row>
    <row r="2">
      <c r="A2" s="2" t="inlineStr">
        <is>
          <t>5-Year Financial Projections &amp; Cash Flow Schedule — 15 TPD Line</t>
        </is>
      </c>
    </row>
    <row r="3">
      <c r="A3" s="3" t="inlineStr">
        <is>
          <t>Commercial Tolling Basis (Model D): INR 12.00/kg Fee | All currency figures in INR Lakhs</t>
        </is>
      </c>
    </row>
    <row r="4"/>
    <row r="5">
      <c r="A5" s="4" t="inlineStr">
        <is>
          <t>Line Item</t>
        </is>
      </c>
      <c r="B5" s="4" t="inlineStr">
        <is>
          <t>Unit</t>
        </is>
      </c>
      <c r="C5" s="4" t="inlineStr">
        <is>
          <t>Year 0</t>
        </is>
      </c>
      <c r="D5" s="4" t="inlineStr">
        <is>
          <t>Year 1 (60% Cap)</t>
        </is>
      </c>
      <c r="E5" s="4" t="inlineStr">
        <is>
          <t>Year 2 (80% Cap)</t>
        </is>
      </c>
      <c r="F5" s="4" t="inlineStr">
        <is>
          <t>Year 3 (90% Cap)</t>
        </is>
      </c>
      <c r="G5" s="4" t="inlineStr">
        <is>
          <t>Year 4 (95% Cap)</t>
        </is>
      </c>
      <c r="H5" s="4" t="inlineStr">
        <is>
          <t>Year 5 (100% Cap)</t>
        </is>
      </c>
    </row>
    <row r="6">
      <c r="A6" s="6" t="inlineStr">
        <is>
          <t>Capacity Utilization</t>
        </is>
      </c>
      <c r="B6" s="8" t="inlineStr">
        <is>
          <t>%</t>
        </is>
      </c>
      <c r="C6" s="22" t="inlineStr">
        <is>
          <t>-</t>
        </is>
      </c>
      <c r="D6" s="19" t="n">
        <v>60</v>
      </c>
      <c r="E6" s="19" t="n">
        <v>80</v>
      </c>
      <c r="F6" s="19" t="n">
        <v>90</v>
      </c>
      <c r="G6" s="19" t="n">
        <v>95</v>
      </c>
      <c r="H6" s="19" t="n">
        <v>100</v>
      </c>
    </row>
    <row r="7">
      <c r="A7" s="6" t="inlineStr">
        <is>
          <t>Raw Dal Processed</t>
        </is>
      </c>
      <c r="B7" s="8" t="inlineStr">
        <is>
          <t>MT / year</t>
        </is>
      </c>
      <c r="C7" s="18" t="inlineStr">
        <is>
          <t>-</t>
        </is>
      </c>
      <c r="D7" s="18">
        <f>4500*D6/100</f>
        <v/>
      </c>
      <c r="E7" s="18">
        <f>4500*E6/100</f>
        <v/>
      </c>
      <c r="F7" s="18">
        <f>4500*F6/100</f>
        <v/>
      </c>
      <c r="G7" s="18">
        <f>4500*G6/100</f>
        <v/>
      </c>
      <c r="H7" s="18">
        <f>4500*H6/100</f>
        <v/>
      </c>
    </row>
    <row r="8">
      <c r="A8" s="6" t="inlineStr">
        <is>
          <t>Finished Dal Produced</t>
        </is>
      </c>
      <c r="B8" s="8" t="inlineStr">
        <is>
          <t>MT / year</t>
        </is>
      </c>
      <c r="C8" s="18" t="inlineStr">
        <is>
          <t>-</t>
        </is>
      </c>
      <c r="D8" s="18">
        <f>4308*D6/100</f>
        <v/>
      </c>
      <c r="E8" s="18">
        <f>4308*E6/100</f>
        <v/>
      </c>
      <c r="F8" s="18">
        <f>4308*F6/100</f>
        <v/>
      </c>
      <c r="G8" s="18">
        <f>4308*G6/100</f>
        <v/>
      </c>
      <c r="H8" s="18">
        <f>4308*H6/100</f>
        <v/>
      </c>
    </row>
    <row r="9">
      <c r="A9" s="6" t="inlineStr">
        <is>
          <t>Tolling Revenue (INR 12/kg raw)</t>
        </is>
      </c>
      <c r="B9" s="8" t="inlineStr">
        <is>
          <t>INR Lakhs</t>
        </is>
      </c>
      <c r="C9" s="9" t="inlineStr">
        <is>
          <t>-</t>
        </is>
      </c>
      <c r="D9" s="9">
        <f>D7*1000*12/100000</f>
        <v/>
      </c>
      <c r="E9" s="9">
        <f>E7*1000*12/100000</f>
        <v/>
      </c>
      <c r="F9" s="9">
        <f>F7*1000*12/100000</f>
        <v/>
      </c>
      <c r="G9" s="9">
        <f>G7*1000*12/100000</f>
        <v/>
      </c>
      <c r="H9" s="9">
        <f>H7*1000*12/100000</f>
        <v/>
      </c>
    </row>
    <row r="10">
      <c r="A10" s="6" t="inlineStr">
        <is>
          <t>Direct Operating Costs (OpEx)</t>
        </is>
      </c>
      <c r="B10" s="8" t="inlineStr">
        <is>
          <t>INR Lakhs</t>
        </is>
      </c>
      <c r="C10" s="9" t="inlineStr">
        <is>
          <t>-</t>
        </is>
      </c>
      <c r="D10" s="9">
        <f>D7*1000*6.34/100000</f>
        <v/>
      </c>
      <c r="E10" s="9">
        <f>E7*1000*6.34/100000</f>
        <v/>
      </c>
      <c r="F10" s="9">
        <f>F7*1000*6.34/100000</f>
        <v/>
      </c>
      <c r="G10" s="9">
        <f>G7*1000*6.34/100000</f>
        <v/>
      </c>
      <c r="H10" s="9">
        <f>H7*1000*6.34/100000</f>
        <v/>
      </c>
    </row>
    <row r="11">
      <c r="A11" s="10" t="inlineStr">
        <is>
          <t>Gross Margin (EBITDA before SG&amp;A)</t>
        </is>
      </c>
      <c r="B11" s="11" t="inlineStr">
        <is>
          <t>INR Lakhs</t>
        </is>
      </c>
      <c r="C11" s="12" t="inlineStr">
        <is>
          <t>-</t>
        </is>
      </c>
      <c r="D11" s="12">
        <f>D9-D10</f>
        <v/>
      </c>
      <c r="E11" s="12">
        <f>E9-E10</f>
        <v/>
      </c>
      <c r="F11" s="12">
        <f>F9-F10</f>
        <v/>
      </c>
      <c r="G11" s="12">
        <f>G9-G10</f>
        <v/>
      </c>
      <c r="H11" s="12">
        <f>H9-H10</f>
        <v/>
      </c>
    </row>
    <row r="12">
      <c r="A12" s="6" t="inlineStr">
        <is>
          <t>Factory Overhead &amp; SG&amp;A (Fixed)</t>
        </is>
      </c>
      <c r="B12" s="8" t="inlineStr">
        <is>
          <t>INR Lakhs</t>
        </is>
      </c>
      <c r="C12" s="9" t="inlineStr">
        <is>
          <t>-</t>
        </is>
      </c>
      <c r="D12" s="9" t="n">
        <v>25</v>
      </c>
      <c r="E12" s="9" t="n">
        <v>26.25</v>
      </c>
      <c r="F12" s="9" t="n">
        <v>27.56</v>
      </c>
      <c r="G12" s="9" t="n">
        <v>28.94</v>
      </c>
      <c r="H12" s="9" t="n">
        <v>30.39</v>
      </c>
    </row>
    <row r="13">
      <c r="A13" s="10" t="inlineStr">
        <is>
          <t>EBITDA</t>
        </is>
      </c>
      <c r="B13" s="11" t="inlineStr">
        <is>
          <t>INR Lakhs</t>
        </is>
      </c>
      <c r="C13" s="12" t="inlineStr">
        <is>
          <t>-</t>
        </is>
      </c>
      <c r="D13" s="12">
        <f>D11-D12</f>
        <v/>
      </c>
      <c r="E13" s="12">
        <f>E11-E12</f>
        <v/>
      </c>
      <c r="F13" s="12">
        <f>F11-F12</f>
        <v/>
      </c>
      <c r="G13" s="12">
        <f>G11-G12</f>
        <v/>
      </c>
      <c r="H13" s="12">
        <f>H11-H12</f>
        <v/>
      </c>
    </row>
    <row r="14">
      <c r="A14" s="6" t="inlineStr">
        <is>
          <t>Depreciation (10-yr Straight Line, 5% Salv)</t>
        </is>
      </c>
      <c r="B14" s="8" t="inlineStr">
        <is>
          <t>INR Lakhs</t>
        </is>
      </c>
      <c r="C14" s="9" t="inlineStr">
        <is>
          <t>-</t>
        </is>
      </c>
      <c r="D14" s="9" t="n">
        <v>12.83</v>
      </c>
      <c r="E14" s="9" t="n">
        <v>12.83</v>
      </c>
      <c r="F14" s="9" t="n">
        <v>12.83</v>
      </c>
      <c r="G14" s="9" t="n">
        <v>12.83</v>
      </c>
      <c r="H14" s="9" t="n">
        <v>12.83</v>
      </c>
    </row>
    <row r="15">
      <c r="A15" s="6" t="inlineStr">
        <is>
          <t>EBIT (Operating Profit)</t>
        </is>
      </c>
      <c r="B15" s="8" t="inlineStr">
        <is>
          <t>INR Lakhs</t>
        </is>
      </c>
      <c r="C15" s="9" t="inlineStr">
        <is>
          <t>-</t>
        </is>
      </c>
      <c r="D15" s="9">
        <f>D13-D14</f>
        <v/>
      </c>
      <c r="E15" s="9">
        <f>E13-E14</f>
        <v/>
      </c>
      <c r="F15" s="9">
        <f>F13-F14</f>
        <v/>
      </c>
      <c r="G15" s="9">
        <f>G13-G14</f>
        <v/>
      </c>
      <c r="H15" s="9">
        <f>H13-H14</f>
        <v/>
      </c>
    </row>
    <row r="16">
      <c r="A16" s="6" t="inlineStr">
        <is>
          <t>Interest Expense (Assumes Equity Funded)</t>
        </is>
      </c>
      <c r="B16" s="8" t="inlineStr">
        <is>
          <t>INR Lakhs</t>
        </is>
      </c>
      <c r="C16" s="9" t="inlineStr">
        <is>
          <t>-</t>
        </is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6" t="inlineStr">
        <is>
          <t>Earnings Before Tax (EBT)</t>
        </is>
      </c>
      <c r="B17" s="8" t="inlineStr">
        <is>
          <t>INR Lakhs</t>
        </is>
      </c>
      <c r="C17" s="9" t="inlineStr">
        <is>
          <t>-</t>
        </is>
      </c>
      <c r="D17" s="9">
        <f>D15-D16</f>
        <v/>
      </c>
      <c r="E17" s="9">
        <f>E15-E16</f>
        <v/>
      </c>
      <c r="F17" s="9">
        <f>F15-F16</f>
        <v/>
      </c>
      <c r="G17" s="9">
        <f>G15-G16</f>
        <v/>
      </c>
      <c r="H17" s="9">
        <f>H15-H16</f>
        <v/>
      </c>
    </row>
    <row r="18">
      <c r="A18" s="6" t="inlineStr">
        <is>
          <t>Income Tax (25.17% Rate)</t>
        </is>
      </c>
      <c r="B18" s="8" t="inlineStr">
        <is>
          <t>INR Lakhs</t>
        </is>
      </c>
      <c r="C18" s="9" t="inlineStr">
        <is>
          <t>-</t>
        </is>
      </c>
      <c r="D18" s="9">
        <f>IF(D17&gt;0,D17*0.2517,0)</f>
        <v/>
      </c>
      <c r="E18" s="9">
        <f>IF(E17&gt;0,E17*0.2517,0)</f>
        <v/>
      </c>
      <c r="F18" s="9">
        <f>IF(F17&gt;0,F17*0.2517,0)</f>
        <v/>
      </c>
      <c r="G18" s="9">
        <f>IF(G17&gt;0,G17*0.2517,0)</f>
        <v/>
      </c>
      <c r="H18" s="9">
        <f>IF(H17&gt;0,H17*0.2517,0)</f>
        <v/>
      </c>
    </row>
    <row r="19">
      <c r="A19" s="10" t="inlineStr">
        <is>
          <t>Net Income (PAT)</t>
        </is>
      </c>
      <c r="B19" s="11" t="inlineStr">
        <is>
          <t>INR Lakhs</t>
        </is>
      </c>
      <c r="C19" s="12" t="inlineStr">
        <is>
          <t>-</t>
        </is>
      </c>
      <c r="D19" s="12">
        <f>D17-D18</f>
        <v/>
      </c>
      <c r="E19" s="12">
        <f>E17-E18</f>
        <v/>
      </c>
      <c r="F19" s="12">
        <f>F17-F18</f>
        <v/>
      </c>
      <c r="G19" s="12">
        <f>G17-G18</f>
        <v/>
      </c>
      <c r="H19" s="12">
        <f>H17-H18</f>
        <v/>
      </c>
    </row>
    <row r="20">
      <c r="A20" s="6" t="inlineStr">
        <is>
          <t>Add back: Depreciation</t>
        </is>
      </c>
      <c r="B20" s="8" t="inlineStr">
        <is>
          <t>INR Lakhs</t>
        </is>
      </c>
      <c r="C20" s="9" t="inlineStr">
        <is>
          <t>-</t>
        </is>
      </c>
      <c r="D20" s="9">
        <f>D14</f>
        <v/>
      </c>
      <c r="E20" s="9">
        <f>E14</f>
        <v/>
      </c>
      <c r="F20" s="9">
        <f>F14</f>
        <v/>
      </c>
      <c r="G20" s="9">
        <f>G14</f>
        <v/>
      </c>
      <c r="H20" s="9">
        <f>H14</f>
        <v/>
      </c>
    </row>
    <row r="21">
      <c r="A21" s="6" t="inlineStr">
        <is>
          <t>Less: Working Capital Changes</t>
        </is>
      </c>
      <c r="B21" s="8" t="inlineStr">
        <is>
          <t>INR Lakhs</t>
        </is>
      </c>
      <c r="C21" s="9" t="inlineStr">
        <is>
          <t>-</t>
        </is>
      </c>
      <c r="D21" s="9" t="n">
        <v>15</v>
      </c>
      <c r="E21" s="9" t="n">
        <v>5</v>
      </c>
      <c r="F21" s="9" t="n">
        <v>2.5</v>
      </c>
      <c r="G21" s="9" t="n">
        <v>1.25</v>
      </c>
      <c r="H21" s="9" t="n">
        <v>1.25</v>
      </c>
    </row>
    <row r="22">
      <c r="A22" s="6" t="inlineStr">
        <is>
          <t>Less: Capital Expenditure (CapEx)</t>
        </is>
      </c>
      <c r="B22" s="8" t="inlineStr">
        <is>
          <t>INR Lakhs</t>
        </is>
      </c>
      <c r="C22" s="9" t="n">
        <v>135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</row>
    <row r="23">
      <c r="A23" s="14" t="inlineStr">
        <is>
          <t>FREE CASH FLOW TO FIRM (FCFF)</t>
        </is>
      </c>
      <c r="B23" s="15" t="inlineStr">
        <is>
          <t>INR Lakhs</t>
        </is>
      </c>
      <c r="C23" s="16" t="n">
        <v>-135</v>
      </c>
      <c r="D23" s="16">
        <f>D19+D20-D21-D22</f>
        <v/>
      </c>
      <c r="E23" s="16">
        <f>E19+E20-E21-E22</f>
        <v/>
      </c>
      <c r="F23" s="16">
        <f>F19+F20-F21-F22</f>
        <v/>
      </c>
      <c r="G23" s="16">
        <f>G19+G20-G21-G22</f>
        <v/>
      </c>
      <c r="H23" s="16">
        <f>H19+H20-H21-H22</f>
        <v/>
      </c>
    </row>
    <row r="24">
      <c r="A24" s="5" t="inlineStr">
        <is>
          <t>Cumulative Cash Flow</t>
        </is>
      </c>
      <c r="B24" s="8" t="inlineStr">
        <is>
          <t>INR Lakhs</t>
        </is>
      </c>
      <c r="C24" s="23" t="n">
        <v>-135</v>
      </c>
      <c r="D24" s="23">
        <f>C23+D23</f>
        <v/>
      </c>
      <c r="E24" s="23">
        <f>D24+E23</f>
        <v/>
      </c>
      <c r="F24" s="23">
        <f>E24+F23</f>
        <v/>
      </c>
      <c r="G24" s="23">
        <f>F24+G23</f>
        <v/>
      </c>
      <c r="H24" s="23">
        <f>G24+H23</f>
        <v/>
      </c>
    </row>
    <row r="25"/>
    <row r="26">
      <c r="A26" s="2" t="inlineStr">
        <is>
          <t>INVESTMENT RETURN METRICS</t>
        </is>
      </c>
    </row>
    <row r="27">
      <c r="A27" s="24" t="inlineStr">
        <is>
          <t>Net Present Value (NPV @ 12% WACC):</t>
        </is>
      </c>
      <c r="C27" s="25">
        <f>NPV(0.12, D23:H23) + C23</f>
        <v/>
      </c>
    </row>
    <row r="28">
      <c r="A28" s="24" t="inlineStr">
        <is>
          <t>Internal Rate of Return (IRR):</t>
        </is>
      </c>
      <c r="C28" s="26">
        <f>IRR(C23:H23)</f>
        <v/>
      </c>
    </row>
    <row r="29">
      <c r="A29" s="24" t="inlineStr">
        <is>
          <t>Payback Period (Years):</t>
        </is>
      </c>
      <c r="C29" s="27" t="inlineStr">
        <is>
          <t>1.12 Years (13.4 Months)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FINNOAQ AGRO-INDUSTRIAL TECHNOLOGIES LTD.</t>
        </is>
      </c>
    </row>
    <row r="2">
      <c r="A2" s="2" t="inlineStr">
        <is>
          <t>Two-Dimensional Sensitivity Analysis — Annual EBITDA (INR Lakhs)</t>
        </is>
      </c>
    </row>
    <row r="3">
      <c r="A3" s="3" t="inlineStr">
        <is>
          <t>Sensitivity 1: Tolling Fee vs. Processing OpEx | Sensitivity 2: Capacity Utilization vs. Feedstock Price Spread</t>
        </is>
      </c>
    </row>
    <row r="4"/>
    <row r="5">
      <c r="A5" s="24" t="inlineStr">
        <is>
          <t>Table 1: Annual EBITDA (INR Lakhs) at 100% Capacity (4,500 MT/yr)</t>
        </is>
      </c>
    </row>
    <row r="6">
      <c r="A6" s="28" t="inlineStr">
        <is>
          <t>Tolling Fee (INR/kg) \ OpEx (INR/kg)</t>
        </is>
      </c>
      <c r="B6" s="29" t="inlineStr">
        <is>
          <t>OpEx: 5.50</t>
        </is>
      </c>
      <c r="C6" s="29" t="inlineStr">
        <is>
          <t>OpEx: 6.00</t>
        </is>
      </c>
      <c r="D6" s="29" t="inlineStr">
        <is>
          <t>OpEx: 6.34</t>
        </is>
      </c>
      <c r="E6" s="29" t="inlineStr">
        <is>
          <t>OpEx: 7.00</t>
        </is>
      </c>
      <c r="F6" s="29" t="inlineStr">
        <is>
          <t>OpEx: 7.50</t>
        </is>
      </c>
    </row>
    <row r="7">
      <c r="A7" s="30" t="inlineStr">
        <is>
          <t>Fee: 8.00</t>
        </is>
      </c>
      <c r="B7" s="31" t="n">
        <v>82.11</v>
      </c>
      <c r="C7" s="31" t="n">
        <v>59.61</v>
      </c>
      <c r="D7" s="31" t="n">
        <v>44.31</v>
      </c>
      <c r="E7" s="31" t="n">
        <v>14.61</v>
      </c>
      <c r="F7" s="31" t="n">
        <v>-7.890000000000001</v>
      </c>
    </row>
    <row r="8">
      <c r="A8" s="30" t="inlineStr">
        <is>
          <t>Fee: 10.00</t>
        </is>
      </c>
      <c r="B8" s="31" t="n">
        <v>172.11</v>
      </c>
      <c r="C8" s="31" t="n">
        <v>149.61</v>
      </c>
      <c r="D8" s="31" t="n">
        <v>134.31</v>
      </c>
      <c r="E8" s="31" t="n">
        <v>104.61</v>
      </c>
      <c r="F8" s="31" t="n">
        <v>82.11</v>
      </c>
    </row>
    <row r="9">
      <c r="A9" s="30" t="inlineStr">
        <is>
          <t>Fee: 12.00</t>
        </is>
      </c>
      <c r="B9" s="31" t="n">
        <v>262.11</v>
      </c>
      <c r="C9" s="31" t="n">
        <v>239.61</v>
      </c>
      <c r="D9" s="32" t="n">
        <v>224.31</v>
      </c>
      <c r="E9" s="31" t="n">
        <v>194.61</v>
      </c>
      <c r="F9" s="31" t="n">
        <v>172.11</v>
      </c>
    </row>
    <row r="10">
      <c r="A10" s="30" t="inlineStr">
        <is>
          <t>Fee: 14.00</t>
        </is>
      </c>
      <c r="B10" s="31" t="n">
        <v>352.11</v>
      </c>
      <c r="C10" s="31" t="n">
        <v>329.61</v>
      </c>
      <c r="D10" s="31" t="n">
        <v>314.31</v>
      </c>
      <c r="E10" s="31" t="n">
        <v>284.61</v>
      </c>
      <c r="F10" s="31" t="n">
        <v>262.11</v>
      </c>
    </row>
    <row r="11">
      <c r="A11" s="30" t="inlineStr">
        <is>
          <t>Fee: 16.00</t>
        </is>
      </c>
      <c r="B11" s="31" t="n">
        <v>442.11</v>
      </c>
      <c r="C11" s="31" t="n">
        <v>419.61</v>
      </c>
      <c r="D11" s="31" t="n">
        <v>404.31</v>
      </c>
      <c r="E11" s="31" t="n">
        <v>374.61</v>
      </c>
      <c r="F11" s="31" t="n">
        <v>352.11</v>
      </c>
    </row>
    <row r="12"/>
    <row r="13"/>
    <row r="14">
      <c r="A14" s="24" t="inlineStr">
        <is>
          <t>Table 2: Net Cash Generation (INR Lakhs/yr) vs. Capacity Utilization</t>
        </is>
      </c>
    </row>
    <row r="15">
      <c r="A15" s="28" t="inlineStr">
        <is>
          <t>HTC Mandi Discount (INR/kg) \ Capacity</t>
        </is>
      </c>
      <c r="B15" s="29" t="inlineStr">
        <is>
          <t>50% Capacity</t>
        </is>
      </c>
      <c r="C15" s="29" t="inlineStr">
        <is>
          <t>70% Capacity</t>
        </is>
      </c>
      <c r="D15" s="29" t="inlineStr">
        <is>
          <t>85% Capacity</t>
        </is>
      </c>
      <c r="E15" s="29" t="inlineStr">
        <is>
          <t>100% Capacity</t>
        </is>
      </c>
    </row>
    <row r="16">
      <c r="A16" s="30" t="inlineStr">
        <is>
          <t>Mandi Discount: INR 15.00</t>
        </is>
      </c>
      <c r="B16" s="31" t="n">
        <v>44.655</v>
      </c>
      <c r="C16" s="31" t="n">
        <v>62.51700000000001</v>
      </c>
      <c r="D16" s="31" t="n">
        <v>75.9135</v>
      </c>
      <c r="E16" s="31" t="n">
        <v>89.31</v>
      </c>
    </row>
    <row r="17">
      <c r="A17" s="30" t="inlineStr">
        <is>
          <t>Mandi Discount: INR 18.00</t>
        </is>
      </c>
      <c r="B17" s="31" t="n">
        <v>85.15499999999997</v>
      </c>
      <c r="C17" s="31" t="n">
        <v>119.217</v>
      </c>
      <c r="D17" s="31" t="n">
        <v>144.7635</v>
      </c>
      <c r="E17" s="31" t="n">
        <v>170.3099999999999</v>
      </c>
    </row>
    <row r="18">
      <c r="A18" s="30" t="inlineStr">
        <is>
          <t>Mandi Discount: INR 20.00</t>
        </is>
      </c>
      <c r="B18" s="31" t="n">
        <v>112.155</v>
      </c>
      <c r="C18" s="31" t="n">
        <v>157.017</v>
      </c>
      <c r="D18" s="31" t="n">
        <v>190.6635</v>
      </c>
      <c r="E18" s="32" t="n">
        <v>224.31</v>
      </c>
    </row>
    <row r="19">
      <c r="A19" s="30" t="inlineStr">
        <is>
          <t>Mandi Discount: INR 22.00</t>
        </is>
      </c>
      <c r="B19" s="31" t="n">
        <v>139.155</v>
      </c>
      <c r="C19" s="31" t="n">
        <v>194.817</v>
      </c>
      <c r="D19" s="31" t="n">
        <v>236.5635</v>
      </c>
      <c r="E19" s="31" t="n">
        <v>278.31</v>
      </c>
    </row>
    <row r="20">
      <c r="A20" s="30" t="inlineStr">
        <is>
          <t>Mandi Discount: INR 25.00</t>
        </is>
      </c>
      <c r="B20" s="31" t="n">
        <v>179.655</v>
      </c>
      <c r="C20" s="31" t="n">
        <v>251.517</v>
      </c>
      <c r="D20" s="31" t="n">
        <v>305.4135</v>
      </c>
      <c r="E20" s="31" t="n">
        <v>359.31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2" customWidth="1" min="3" max="3"/>
    <col width="29" customWidth="1" min="4" max="4"/>
    <col width="23" customWidth="1" min="5" max="5"/>
    <col width="36" customWidth="1" min="6" max="6"/>
  </cols>
  <sheetData>
    <row r="1">
      <c r="A1" s="1" t="inlineStr">
        <is>
          <t>FINNOAQ AGRO-INDUSTRIAL TECHNOLOGIES LTD.</t>
        </is>
      </c>
    </row>
    <row r="2">
      <c r="A2" s="2" t="inlineStr">
        <is>
          <t>Fixed vs. Variable Cost Decomposition &amp; Break-Even Analysis</t>
        </is>
      </c>
    </row>
    <row r="3">
      <c r="A3" s="3" t="inlineStr">
        <is>
          <t>15 TPD Turnkey Line | Ref: FNQ-PR-2026-001</t>
        </is>
      </c>
    </row>
    <row r="4"/>
    <row r="5">
      <c r="A5" s="4" t="inlineStr">
        <is>
          <t>Cost Item</t>
        </is>
      </c>
      <c r="B5" s="4" t="inlineStr">
        <is>
          <t>Classification</t>
        </is>
      </c>
      <c r="C5" s="4" t="inlineStr">
        <is>
          <t>Cost Basis</t>
        </is>
      </c>
      <c r="D5" s="4" t="inlineStr">
        <is>
          <t>Annual Amount (INR Lakhs)</t>
        </is>
      </c>
      <c r="E5" s="4" t="inlineStr">
        <is>
          <t>Per kg Finished (INR)</t>
        </is>
      </c>
      <c r="F5" s="4" t="inlineStr">
        <is>
          <t>Notes</t>
        </is>
      </c>
    </row>
    <row r="6">
      <c r="A6" s="6" t="inlineStr">
        <is>
          <t>Chemical Buffers (S1-09)</t>
        </is>
      </c>
      <c r="B6" s="6" t="inlineStr">
        <is>
          <t>Variable</t>
        </is>
      </c>
      <c r="C6" s="8" t="inlineStr">
        <is>
          <t>INR 1.82/kg raw</t>
        </is>
      </c>
      <c r="D6" s="9" t="n">
        <v>81.90000000000001</v>
      </c>
      <c r="E6" s="9" t="n">
        <v>1.9</v>
      </c>
      <c r="F6" s="6" t="inlineStr">
        <is>
          <t>Scales 1:1 with volume</t>
        </is>
      </c>
    </row>
    <row r="7">
      <c r="A7" s="6" t="inlineStr">
        <is>
          <t>Thermal Steam (Biomass)</t>
        </is>
      </c>
      <c r="B7" s="6" t="inlineStr">
        <is>
          <t>Variable</t>
        </is>
      </c>
      <c r="C7" s="8" t="inlineStr">
        <is>
          <t>INR 1.95/kg raw</t>
        </is>
      </c>
      <c r="D7" s="9" t="n">
        <v>87.75</v>
      </c>
      <c r="E7" s="9" t="n">
        <v>2.04</v>
      </c>
      <c r="F7" s="6" t="inlineStr">
        <is>
          <t>Scales 1:1 with water evaporated</t>
        </is>
      </c>
    </row>
    <row r="8">
      <c r="A8" s="6" t="inlineStr">
        <is>
          <t>Electrical Power</t>
        </is>
      </c>
      <c r="B8" s="6" t="inlineStr">
        <is>
          <t>Semi-Variable</t>
        </is>
      </c>
      <c r="C8" s="8" t="inlineStr">
        <is>
          <t>INR 0.88/kg raw (80% variable)</t>
        </is>
      </c>
      <c r="D8" s="9" t="n">
        <v>39.6</v>
      </c>
      <c r="E8" s="9" t="n">
        <v>0.92</v>
      </c>
      <c r="F8" s="6" t="inlineStr">
        <is>
          <t>Base connected load + kWh per run</t>
        </is>
      </c>
    </row>
    <row r="9">
      <c r="A9" s="6" t="inlineStr">
        <is>
          <t>Water &amp; Wastewater</t>
        </is>
      </c>
      <c r="B9" s="6" t="inlineStr">
        <is>
          <t>Variable</t>
        </is>
      </c>
      <c r="C9" s="8" t="inlineStr">
        <is>
          <t>INR 0.34/kg raw</t>
        </is>
      </c>
      <c r="D9" s="9" t="n">
        <v>15.3</v>
      </c>
      <c r="E9" s="9" t="n">
        <v>0.36</v>
      </c>
      <c r="F9" s="6" t="inlineStr">
        <is>
          <t>Effluent treatment and neutralization</t>
        </is>
      </c>
    </row>
    <row r="10">
      <c r="A10" s="6" t="inlineStr">
        <is>
          <t>Routine Plant Spares</t>
        </is>
      </c>
      <c r="B10" s="6" t="inlineStr">
        <is>
          <t>Semi-Variable</t>
        </is>
      </c>
      <c r="C10" s="8" t="inlineStr">
        <is>
          <t>4% CapEx (50% variable)</t>
        </is>
      </c>
      <c r="D10" s="9" t="n">
        <v>27</v>
      </c>
      <c r="E10" s="9" t="n">
        <v>0.63</v>
      </c>
      <c r="F10" s="6" t="inlineStr">
        <is>
          <t>Wear parts, screen mesh, belts</t>
        </is>
      </c>
    </row>
    <row r="11">
      <c r="A11" s="6" t="inlineStr">
        <is>
          <t>Direct Labor Wages</t>
        </is>
      </c>
      <c r="B11" s="6" t="inlineStr">
        <is>
          <t>Fixed</t>
        </is>
      </c>
      <c r="C11" s="8" t="inlineStr">
        <is>
          <t>7 staff (operators + sup)</t>
        </is>
      </c>
      <c r="D11" s="9" t="n">
        <v>33.75</v>
      </c>
      <c r="E11" s="9" t="n">
        <v>0.78</v>
      </c>
      <c r="F11" s="6" t="inlineStr">
        <is>
          <t>Fixed monthly payroll</t>
        </is>
      </c>
    </row>
    <row r="12">
      <c r="A12" s="6" t="inlineStr">
        <is>
          <t>Plant Depreciation</t>
        </is>
      </c>
      <c r="B12" s="6" t="inlineStr">
        <is>
          <t>Fixed</t>
        </is>
      </c>
      <c r="C12" s="8" t="inlineStr">
        <is>
          <t>10-year SLM</t>
        </is>
      </c>
      <c r="D12" s="9" t="n">
        <v>12.83</v>
      </c>
      <c r="E12" s="9" t="n">
        <v>0.3</v>
      </c>
      <c r="F12" s="6" t="inlineStr">
        <is>
          <t>Non-cash fixed charge</t>
        </is>
      </c>
    </row>
    <row r="13">
      <c r="A13" s="6" t="inlineStr">
        <is>
          <t>Factory Overheads &amp; SG&amp;A</t>
        </is>
      </c>
      <c r="B13" s="6" t="inlineStr">
        <is>
          <t>Fixed</t>
        </is>
      </c>
      <c r="C13" s="8" t="inlineStr">
        <is>
          <t>Admin, insurance, legal</t>
        </is>
      </c>
      <c r="D13" s="9" t="n">
        <v>30.39</v>
      </c>
      <c r="E13" s="9" t="n">
        <v>0.71</v>
      </c>
      <c r="F13" s="6" t="inlineStr">
        <is>
          <t>Fixed facility overhead</t>
        </is>
      </c>
    </row>
    <row r="14">
      <c r="A14" s="10" t="inlineStr">
        <is>
          <t>TOTAL FIXED COSTS</t>
        </is>
      </c>
      <c r="B14" s="10" t="inlineStr">
        <is>
          <t>Summary</t>
        </is>
      </c>
      <c r="C14" s="11" t="inlineStr">
        <is>
          <t>Annual Fixed Burden</t>
        </is>
      </c>
      <c r="D14" s="33">
        <f>D11+D12+D13</f>
        <v/>
      </c>
      <c r="E14" s="33">
        <f>E11+E12+E13</f>
        <v/>
      </c>
      <c r="F14" s="13" t="inlineStr">
        <is>
          <t>Total fixed burden</t>
        </is>
      </c>
    </row>
    <row r="15">
      <c r="A15" s="10" t="inlineStr">
        <is>
          <t>VARIABLE COST PER KG</t>
        </is>
      </c>
      <c r="B15" s="10" t="inlineStr">
        <is>
          <t>Summary</t>
        </is>
      </c>
      <c r="C15" s="11" t="inlineStr">
        <is>
          <t>Weighted Variable OpEx</t>
        </is>
      </c>
      <c r="D15" s="33">
        <f>SUM(D6:D10)/4500000*100000</f>
        <v/>
      </c>
      <c r="E15" s="33">
        <f>SUM(E6:E10)</f>
        <v/>
      </c>
      <c r="F15" s="13" t="inlineStr">
        <is>
          <t>Variable cost per kg processed</t>
        </is>
      </c>
    </row>
    <row r="16">
      <c r="A16" s="10" t="inlineStr">
        <is>
          <t>CONTRIBUTION MARGIN</t>
        </is>
      </c>
      <c r="B16" s="10" t="inlineStr">
        <is>
          <t>Summary</t>
        </is>
      </c>
      <c r="C16" s="11" t="inlineStr">
        <is>
          <t>Fee - Variable Cost</t>
        </is>
      </c>
      <c r="D16" s="33">
        <f>12.00-D15</f>
        <v/>
      </c>
      <c r="E16" s="33">
        <f>12.54-E15</f>
        <v/>
      </c>
      <c r="F16" s="13" t="inlineStr">
        <is>
          <t>Contribution margin per kg</t>
        </is>
      </c>
    </row>
    <row r="17">
      <c r="A17" s="14" t="inlineStr">
        <is>
          <t>BREAK-EVEN VOLUME (RAW)</t>
        </is>
      </c>
      <c r="B17" s="14" t="inlineStr">
        <is>
          <t>Break-Even</t>
        </is>
      </c>
      <c r="C17" s="15" t="inlineStr">
        <is>
          <t>Fixed Costs / Unit Margin</t>
        </is>
      </c>
      <c r="D17" s="34">
        <f>D14*100000/D16/1000</f>
        <v/>
      </c>
      <c r="E17" s="34" t="inlineStr">
        <is>
          <t>-</t>
        </is>
      </c>
      <c r="F17" s="17" t="inlineStr">
        <is>
          <t>Metric Tonnes per year</t>
        </is>
      </c>
    </row>
    <row r="18">
      <c r="A18" s="14" t="inlineStr">
        <is>
          <t>BREAK-EVEN CAPACITY %</t>
        </is>
      </c>
      <c r="B18" s="14" t="inlineStr">
        <is>
          <t>Break-Even</t>
        </is>
      </c>
      <c r="C18" s="15" t="inlineStr">
        <is>
          <t>BE Volume / Nameplate</t>
        </is>
      </c>
      <c r="D18" s="34">
        <f>D17/4500*100</f>
        <v/>
      </c>
      <c r="E18" s="34" t="inlineStr">
        <is>
          <t>-</t>
        </is>
      </c>
      <c r="F18" s="17" t="inlineStr">
        <is>
          <t>% of 15 TPD annual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2026-10-28T15:51:26Z</dcterms:created>
  <dcterms:modified xmlns:dcterms="http://purl.org/dc/terms/" xmlns:xsi="http://www.w3.org/2001/XMLSchema-instance" xsi:type="dcterms:W3CDTF">2026-10-28T15:51:26Z</dcterms:modified>
</cp:coreProperties>
</file>